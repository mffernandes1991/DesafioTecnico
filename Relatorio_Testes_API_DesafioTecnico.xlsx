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\Downloads\Resultado postman\"/>
    </mc:Choice>
  </mc:AlternateContent>
  <xr:revisionPtr revIDLastSave="0" documentId="13_ncr:1_{90B9D3D1-079D-489D-99AD-4EA293C73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 Executivo" sheetId="1" r:id="rId1"/>
    <sheet name="Casos de Teste Detalhados" sheetId="2" r:id="rId2"/>
  </sheets>
  <calcPr calcId="191029"/>
</workbook>
</file>

<file path=xl/calcChain.xml><?xml version="1.0" encoding="utf-8"?>
<calcChain xmlns="http://schemas.openxmlformats.org/spreadsheetml/2006/main">
  <c r="C14" i="1" l="1"/>
  <c r="E13" i="1" s="1"/>
  <c r="E11" i="1" l="1"/>
  <c r="E12" i="1"/>
  <c r="E14" i="1" l="1"/>
</calcChain>
</file>

<file path=xl/sharedStrings.xml><?xml version="1.0" encoding="utf-8"?>
<sst xmlns="http://schemas.openxmlformats.org/spreadsheetml/2006/main" count="71" uniqueCount="55">
  <si>
    <t>Relatório de Testes de API — Desafio Técnico</t>
  </si>
  <si>
    <t>Coleção Postman: DesafioTecnico | Target: ApiCEP (cdn.apicep.com)</t>
  </si>
  <si>
    <t>Indicadores Gerais</t>
  </si>
  <si>
    <t>Total de Casos
=COUNTA('Casos de Teste Detalhados'!B5:B9)</t>
  </si>
  <si>
    <t>Mapeados com Sucesso
5</t>
  </si>
  <si>
    <t>Status Suportados
200, 404</t>
  </si>
  <si>
    <t>Distribuição por Tipo de Fluxo</t>
  </si>
  <si>
    <t>Tipo de Fluxo</t>
  </si>
  <si>
    <t>Qtd Casos</t>
  </si>
  <si>
    <t>Status Esperado</t>
  </si>
  <si>
    <t>Percentual</t>
  </si>
  <si>
    <t>Fluxo Base (Caminho Feliz)</t>
  </si>
  <si>
    <t>200 OK</t>
  </si>
  <si>
    <t>Fluxo Alternativo (Variações)</t>
  </si>
  <si>
    <t>404 Not Found</t>
  </si>
  <si>
    <t>Fluxo de Exceção (Erros Tratados)</t>
  </si>
  <si>
    <t>Total Geral</t>
  </si>
  <si>
    <t>Especificação Detalhada dos Casos de Teste</t>
  </si>
  <si>
    <t>ID</t>
  </si>
  <si>
    <t>Nome do Caso de Teste</t>
  </si>
  <si>
    <t>Método</t>
  </si>
  <si>
    <t>URL / Endpoint Target</t>
  </si>
  <si>
    <t>Status Code</t>
  </si>
  <si>
    <t>Tipo de Rota</t>
  </si>
  <si>
    <t>Asserções Principais (Scripts Postman)</t>
  </si>
  <si>
    <t>CT01</t>
  </si>
  <si>
    <t>CT01 – FB - Consulta CEP</t>
  </si>
  <si>
    <t>GET</t>
  </si>
  <si>
    <t>https://cdn.apicep.com/file/apicep/72327-002.json</t>
  </si>
  <si>
    <t>Fluxo Base</t>
  </si>
  <si>
    <t>• Valida Status 200
• Response time &lt; 3000ms
• ok: true, status: 200
• Dados exatos (DF, Brasília, 72327-002)
• Implementa Postman Visualizer em HTML</t>
  </si>
  <si>
    <t>CT02</t>
  </si>
  <si>
    <t>CT02 – FB – Campos obrigatórios</t>
  </si>
  <si>
    <t>• Valida chaves do JSON estrutural
• Confirma presença obrigatória de: code, state, city, district, address</t>
  </si>
  <si>
    <t>CT03</t>
  </si>
  <si>
    <t>CT03 – FA - Consulta CEP apenas números</t>
  </si>
  <si>
    <t>https://cdn.apicep.com/file/apicep/72327002.json</t>
  </si>
  <si>
    <t>Fluxo Alternativo</t>
  </si>
  <si>
    <t>• Valida comportamento sem hífen na URL
• Retorna 404 (Regra do CDN)
• Valida objeto de erro (code: 'not_found')</t>
  </si>
  <si>
    <t>CT04</t>
  </si>
  <si>
    <t>CT04 – FA – Consulta de CEP Não Cadastrado</t>
  </si>
  <si>
    <t>https://cdn.apicep.com/file/apicep/72327-089.json</t>
  </si>
  <si>
    <t>• CEP inexistente com formato correto
• Retorna erro tratado 404
• Valida chaves 'message', 'status' e 'code'</t>
  </si>
  <si>
    <t>CT05</t>
  </si>
  <si>
    <t>CT05 – FE - Consulta de CEP Inválido</t>
  </si>
  <si>
    <t>https://cdn.apicep.com/file/apicep/00000-000.json</t>
  </si>
  <si>
    <t>Fluxo de Exceção</t>
  </si>
  <si>
    <t>• Força tratamento de erro com formato zerado
• Retorna erro estruturado 404
• Garante integridade do tratamento de falhas</t>
  </si>
  <si>
    <t>Casos de teste</t>
  </si>
  <si>
    <t>CT01 – FB - Consulta CEP.</t>
  </si>
  <si>
    <t>CT03 – FA - Consulta de CEP existente informando apenas números na Url</t>
  </si>
  <si>
    <t xml:space="preserve">CT04 – FA – Consulta de CEP não cadastrado </t>
  </si>
  <si>
    <t>Sugestão de melhoria</t>
  </si>
  <si>
    <t>Deveria ser informado que o cep não é cadastrado - Sugestão de mensagem "CEP não cadastrado"</t>
  </si>
  <si>
    <t>Deveria ser informado que o campo CEP está com preenhimento incorreto - Sugestão de mensagem "CEP invalido ou não informado"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</si>
</sst>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b/>
      <sz val="16"/>
      <color rgb="FF114B5F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rgb="FF114B5F"/>
      <name val="Arial"/>
      <family val="2"/>
    </font>
    <font>
      <i/>
      <sz val="12"/>
      <color rgb="FF59595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03A43"/>
        <bgColor rgb="FF203A43"/>
      </patternFill>
    </fill>
    <fill>
      <patternFill patternType="solid">
        <fgColor rgb="FF17A2B8"/>
        <bgColor rgb="FF17A2B8"/>
      </patternFill>
    </fill>
    <fill>
      <patternFill patternType="solid">
        <fgColor rgb="FF114B5F"/>
        <bgColor rgb="FF114B5F"/>
      </patternFill>
    </fill>
    <fill>
      <patternFill patternType="solid">
        <fgColor rgb="FFD4EDDA"/>
        <bgColor rgb="FFD4EDDA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28A74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0" fontId="10" fillId="0" borderId="2" xfId="0" applyFont="1" applyBorder="1"/>
    <xf numFmtId="0" fontId="10" fillId="0" borderId="2" xfId="0" applyFont="1" applyBorder="1" applyAlignment="1">
      <alignment horizontal="center" vertical="center"/>
    </xf>
    <xf numFmtId="0" fontId="6" fillId="0" borderId="2" xfId="0" applyFont="1" applyBorder="1"/>
    <xf numFmtId="164" fontId="10" fillId="0" borderId="2" xfId="0" applyNumberFormat="1" applyFont="1" applyBorder="1" applyAlignment="1">
      <alignment horizontal="right" vertical="center"/>
    </xf>
    <xf numFmtId="0" fontId="11" fillId="8" borderId="0" xfId="0" applyFont="1" applyFill="1" applyAlignment="1">
      <alignment horizontal="center"/>
    </xf>
    <xf numFmtId="0" fontId="6" fillId="0" borderId="0" xfId="0" applyFont="1" applyAlignment="1">
      <alignment horizontal="left" vertical="center" indent="5"/>
    </xf>
    <xf numFmtId="0" fontId="6" fillId="0" borderId="0" xfId="0" applyFont="1" applyAlignment="1">
      <alignment horizontal="center"/>
    </xf>
    <xf numFmtId="0" fontId="5" fillId="10" borderId="0" xfId="0" applyFont="1" applyFill="1" applyAlignment="1">
      <alignment horizontal="center" vertical="center" wrapText="1"/>
    </xf>
    <xf numFmtId="0" fontId="6" fillId="9" borderId="0" xfId="0" applyFont="1" applyFill="1"/>
    <xf numFmtId="0" fontId="11" fillId="9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tabSelected="1" topLeftCell="A16" workbookViewId="0">
      <selection activeCell="B27" sqref="B27"/>
    </sheetView>
  </sheetViews>
  <sheetFormatPr defaultRowHeight="15"/>
  <cols>
    <col min="1" max="1" width="3" style="15" customWidth="1"/>
    <col min="2" max="2" width="83.109375" style="15" bestFit="1" customWidth="1"/>
    <col min="3" max="3" width="12.109375" style="15" bestFit="1" customWidth="1"/>
    <col min="4" max="4" width="24" style="15" customWidth="1"/>
    <col min="5" max="5" width="14" style="15" customWidth="1"/>
    <col min="6" max="6" width="21" style="15" customWidth="1"/>
    <col min="7" max="16384" width="8.88671875" style="15"/>
  </cols>
  <sheetData>
    <row r="2" spans="2:7" ht="15.6">
      <c r="B2" s="16" t="s">
        <v>0</v>
      </c>
    </row>
    <row r="3" spans="2:7" ht="15.6">
      <c r="B3" s="17" t="s">
        <v>1</v>
      </c>
    </row>
    <row r="5" spans="2:7" ht="15.6">
      <c r="B5" s="16" t="s">
        <v>2</v>
      </c>
    </row>
    <row r="6" spans="2:7">
      <c r="B6" s="13" t="s">
        <v>3</v>
      </c>
      <c r="C6" s="18"/>
      <c r="D6" s="31" t="s">
        <v>4</v>
      </c>
      <c r="E6" s="32"/>
      <c r="F6" s="14" t="s">
        <v>5</v>
      </c>
      <c r="G6" s="18"/>
    </row>
    <row r="7" spans="2:7">
      <c r="B7" s="18"/>
      <c r="C7" s="18"/>
      <c r="D7" s="32"/>
      <c r="E7" s="32"/>
      <c r="F7" s="18"/>
      <c r="G7" s="18"/>
    </row>
    <row r="9" spans="2:7" ht="15.6">
      <c r="B9" s="16" t="s">
        <v>6</v>
      </c>
    </row>
    <row r="10" spans="2:7" ht="15.6">
      <c r="B10" s="19" t="s">
        <v>7</v>
      </c>
      <c r="C10" s="19" t="s">
        <v>8</v>
      </c>
      <c r="D10" s="19" t="s">
        <v>9</v>
      </c>
      <c r="E10" s="19" t="s">
        <v>10</v>
      </c>
    </row>
    <row r="11" spans="2:7" ht="15.6">
      <c r="B11" s="20" t="s">
        <v>11</v>
      </c>
      <c r="C11" s="21">
        <v>2</v>
      </c>
      <c r="D11" s="22" t="s">
        <v>12</v>
      </c>
      <c r="E11" s="23">
        <f>C11/C$14</f>
        <v>0.4</v>
      </c>
    </row>
    <row r="12" spans="2:7" ht="15.6">
      <c r="B12" s="20" t="s">
        <v>13</v>
      </c>
      <c r="C12" s="21">
        <v>2</v>
      </c>
      <c r="D12" s="22" t="s">
        <v>14</v>
      </c>
      <c r="E12" s="23">
        <f>C12/C$14</f>
        <v>0.4</v>
      </c>
    </row>
    <row r="13" spans="2:7" ht="15.6">
      <c r="B13" s="20" t="s">
        <v>15</v>
      </c>
      <c r="C13" s="21">
        <v>1</v>
      </c>
      <c r="D13" s="22" t="s">
        <v>14</v>
      </c>
      <c r="E13" s="23">
        <f>C13/C$14</f>
        <v>0.2</v>
      </c>
    </row>
    <row r="14" spans="2:7" ht="15.6">
      <c r="B14" s="24" t="s">
        <v>16</v>
      </c>
      <c r="C14" s="25">
        <f>SUM(C11:C13)</f>
        <v>5</v>
      </c>
      <c r="D14" s="26"/>
      <c r="E14" s="27">
        <f>SUM(E11:E13)</f>
        <v>1</v>
      </c>
    </row>
    <row r="17" spans="2:5" ht="15.6">
      <c r="B17" s="28" t="s">
        <v>48</v>
      </c>
      <c r="C17" s="33" t="s">
        <v>52</v>
      </c>
      <c r="D17" s="33"/>
      <c r="E17" s="33"/>
    </row>
    <row r="18" spans="2:5">
      <c r="B18" s="29" t="s">
        <v>49</v>
      </c>
      <c r="C18" s="30"/>
      <c r="D18" s="30"/>
      <c r="E18" s="30"/>
    </row>
    <row r="19" spans="2:5">
      <c r="B19" s="29" t="s">
        <v>32</v>
      </c>
      <c r="C19" s="30"/>
      <c r="D19" s="30"/>
      <c r="E19" s="30"/>
    </row>
    <row r="20" spans="2:5" ht="46.8" customHeight="1">
      <c r="B20" s="29" t="s">
        <v>50</v>
      </c>
      <c r="C20" s="34" t="s">
        <v>54</v>
      </c>
      <c r="D20" s="34"/>
      <c r="E20" s="34"/>
    </row>
    <row r="21" spans="2:5" ht="46.8" customHeight="1">
      <c r="B21" s="29" t="s">
        <v>51</v>
      </c>
      <c r="C21" s="34" t="s">
        <v>53</v>
      </c>
      <c r="D21" s="34"/>
      <c r="E21" s="34"/>
    </row>
    <row r="22" spans="2:5" ht="45" customHeight="1">
      <c r="B22" s="29" t="s">
        <v>44</v>
      </c>
      <c r="C22" s="34" t="s">
        <v>54</v>
      </c>
      <c r="D22" s="34"/>
      <c r="E22" s="34"/>
    </row>
  </sheetData>
  <mergeCells count="9">
    <mergeCell ref="C19:E19"/>
    <mergeCell ref="C20:E20"/>
    <mergeCell ref="C21:E21"/>
    <mergeCell ref="C22:E22"/>
    <mergeCell ref="D6:E7"/>
    <mergeCell ref="B6:C7"/>
    <mergeCell ref="F6:G7"/>
    <mergeCell ref="C17:E17"/>
    <mergeCell ref="C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"/>
  <sheetViews>
    <sheetView workbookViewId="0"/>
  </sheetViews>
  <sheetFormatPr defaultRowHeight="14.4"/>
  <cols>
    <col min="1" max="1" width="3" customWidth="1"/>
    <col min="2" max="3" width="46" customWidth="1"/>
    <col min="4" max="4" width="10" customWidth="1"/>
    <col min="5" max="5" width="50" customWidth="1"/>
    <col min="6" max="6" width="17" customWidth="1"/>
    <col min="7" max="7" width="21" customWidth="1"/>
    <col min="8" max="8" width="50" customWidth="1"/>
  </cols>
  <sheetData>
    <row r="2" spans="2:8" ht="24.6">
      <c r="B2" s="1" t="s">
        <v>17</v>
      </c>
    </row>
    <row r="4" spans="2:8" ht="16.8"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2:8" ht="70.05" customHeight="1">
      <c r="B5" s="5" t="s">
        <v>25</v>
      </c>
      <c r="C5" s="3" t="s">
        <v>26</v>
      </c>
      <c r="D5" s="4" t="s">
        <v>27</v>
      </c>
      <c r="E5" s="3" t="s">
        <v>28</v>
      </c>
      <c r="F5" s="6" t="s">
        <v>12</v>
      </c>
      <c r="G5" s="5" t="s">
        <v>29</v>
      </c>
      <c r="H5" s="7" t="s">
        <v>30</v>
      </c>
    </row>
    <row r="6" spans="2:8" ht="45" customHeight="1">
      <c r="B6" s="8" t="s">
        <v>31</v>
      </c>
      <c r="C6" s="9" t="s">
        <v>32</v>
      </c>
      <c r="D6" s="10" t="s">
        <v>27</v>
      </c>
      <c r="E6" s="9" t="s">
        <v>28</v>
      </c>
      <c r="F6" s="6" t="s">
        <v>12</v>
      </c>
      <c r="G6" s="8" t="s">
        <v>29</v>
      </c>
      <c r="H6" s="11" t="s">
        <v>33</v>
      </c>
    </row>
    <row r="7" spans="2:8" ht="45" customHeight="1">
      <c r="B7" s="5" t="s">
        <v>34</v>
      </c>
      <c r="C7" s="3" t="s">
        <v>35</v>
      </c>
      <c r="D7" s="4" t="s">
        <v>27</v>
      </c>
      <c r="E7" s="3" t="s">
        <v>36</v>
      </c>
      <c r="F7" s="12" t="s">
        <v>14</v>
      </c>
      <c r="G7" s="5" t="s">
        <v>37</v>
      </c>
      <c r="H7" s="7" t="s">
        <v>38</v>
      </c>
    </row>
    <row r="8" spans="2:8" ht="45" customHeight="1">
      <c r="B8" s="8" t="s">
        <v>39</v>
      </c>
      <c r="C8" s="9" t="s">
        <v>40</v>
      </c>
      <c r="D8" s="10" t="s">
        <v>27</v>
      </c>
      <c r="E8" s="9" t="s">
        <v>41</v>
      </c>
      <c r="F8" s="12" t="s">
        <v>14</v>
      </c>
      <c r="G8" s="8" t="s">
        <v>37</v>
      </c>
      <c r="H8" s="11" t="s">
        <v>42</v>
      </c>
    </row>
    <row r="9" spans="2:8" ht="45" customHeight="1">
      <c r="B9" s="5" t="s">
        <v>43</v>
      </c>
      <c r="C9" s="3" t="s">
        <v>44</v>
      </c>
      <c r="D9" s="4" t="s">
        <v>27</v>
      </c>
      <c r="E9" s="3" t="s">
        <v>45</v>
      </c>
      <c r="F9" s="12" t="s">
        <v>14</v>
      </c>
      <c r="G9" s="5" t="s">
        <v>46</v>
      </c>
      <c r="H9" s="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Executivo</vt:lpstr>
      <vt:lpstr>Casos de Teste Detalhados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Ferreira</cp:lastModifiedBy>
  <dcterms:created xsi:type="dcterms:W3CDTF">2026-05-19T03:11:53Z</dcterms:created>
  <dcterms:modified xsi:type="dcterms:W3CDTF">2026-05-19T12:38:15Z</dcterms:modified>
</cp:coreProperties>
</file>